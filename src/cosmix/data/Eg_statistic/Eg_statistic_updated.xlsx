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EYA\CoCoA\COSMIX\src\cosmix\data\Eg_statistic\"/>
    </mc:Choice>
  </mc:AlternateContent>
  <xr:revisionPtr revIDLastSave="0" documentId="13_ncr:1_{E044F21E-0AD4-48DC-95A0-3711307E1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0" i="1"/>
  <c r="H11" i="1"/>
  <c r="H12" i="1"/>
  <c r="H9" i="1"/>
  <c r="H22" i="1"/>
  <c r="H17" i="1"/>
</calcChain>
</file>

<file path=xl/sharedStrings.xml><?xml version="1.0" encoding="utf-8"?>
<sst xmlns="http://schemas.openxmlformats.org/spreadsheetml/2006/main" count="107" uniqueCount="61">
  <si>
    <t>z</t>
  </si>
  <si>
    <t>Eg</t>
  </si>
  <si>
    <t>Eg_err</t>
  </si>
  <si>
    <t>Survey</t>
  </si>
  <si>
    <t>Year</t>
  </si>
  <si>
    <t>Reference</t>
  </si>
  <si>
    <t>Article Link</t>
  </si>
  <si>
    <t>Notes</t>
  </si>
  <si>
    <t>VIPERS</t>
  </si>
  <si>
    <t>No</t>
  </si>
  <si>
    <t>CFHTLenS (galaxy WL)</t>
  </si>
  <si>
    <t>de la Torre et. al</t>
  </si>
  <si>
    <t>https://arxiv.org/pdf/1612.05647</t>
  </si>
  <si>
    <t>scale description given in page 17/21, left column, second paragraph</t>
  </si>
  <si>
    <t>KiDS-1000+BOSS DR12+2dFLenS</t>
  </si>
  <si>
    <t>KiDS-1000 (galaxy WL)</t>
  </si>
  <si>
    <t>Blake et. al</t>
  </si>
  <si>
    <t>https://arxiv.org/pdf/2005.14351</t>
  </si>
  <si>
    <t>DES</t>
  </si>
  <si>
    <t>Yes (Planck)</t>
  </si>
  <si>
    <t>DES (galaxy WL)</t>
  </si>
  <si>
    <t>Grimm et. al</t>
  </si>
  <si>
    <t>https://arxiv.org/pdf/2403.13709</t>
  </si>
  <si>
    <t>ACT+CMASS</t>
  </si>
  <si>
    <t>ACT DR6 (CMB)</t>
  </si>
  <si>
    <t>Wenzl et. al</t>
  </si>
  <si>
    <t>https://arxiv.org/pdf/2405.12795</t>
  </si>
  <si>
    <t>symmetrized error. Plus 0.06, minus 0.05</t>
  </si>
  <si>
    <t>ACT+LOWZ</t>
  </si>
  <si>
    <t>symmetrized error. Plus 0.14, minus 0.11</t>
  </si>
  <si>
    <t>ACT+CMASS+Planck</t>
  </si>
  <si>
    <t>ACT DR6 + Planck PR4 (CMB)</t>
  </si>
  <si>
    <t>Planck PR4 Lensing</t>
  </si>
  <si>
    <t>ACT+LOWZ+Planck</t>
  </si>
  <si>
    <t>symmetrized error. Plus 0.11, minus 0.09; Planck PR4 Lensing</t>
  </si>
  <si>
    <t>Planck Lensing + SDSS III CMASS</t>
  </si>
  <si>
    <t>Planck (CMB)</t>
  </si>
  <si>
    <t>Pullen et. al</t>
  </si>
  <si>
    <t>https://arxiv.org/pdf/1511.04457</t>
  </si>
  <si>
    <t>sys err = 0.013; stat err = 0.06</t>
  </si>
  <si>
    <t>SDSS LRG</t>
  </si>
  <si>
    <t>SDSS (galaxy WL)</t>
  </si>
  <si>
    <t>Reyes et. al</t>
  </si>
  <si>
    <t>https://arxiv.org/pdf/1003.2185</t>
  </si>
  <si>
    <t>avg over R=10-50 h inv Mpc</t>
  </si>
  <si>
    <t>GAMA</t>
  </si>
  <si>
    <t>KiDS (galaxy WL)</t>
  </si>
  <si>
    <t>Amon et. al</t>
  </si>
  <si>
    <t>https://arxiv.org/pdf/1711.10999</t>
  </si>
  <si>
    <t>LOWZ+2dFLOZ</t>
  </si>
  <si>
    <t>CMASS+2dFHIZ</t>
  </si>
  <si>
    <t>CMASS DR11 + CFHTLenS</t>
  </si>
  <si>
    <t>Alam et al</t>
  </si>
  <si>
    <t>https://arxiv.org/pdf/1610.09410</t>
  </si>
  <si>
    <t>Planck+CMASS</t>
  </si>
  <si>
    <t>https://arxiv.org/pdf/2401.12971</t>
  </si>
  <si>
    <t>Planck+LOWZ</t>
  </si>
  <si>
    <t xml:space="preserve">symmetrized error. Plus 0.11, minus 0.09 </t>
  </si>
  <si>
    <t>CMB_Prior</t>
  </si>
  <si>
    <t>Lensing_Tracer</t>
  </si>
  <si>
    <t xml:space="preserve">Scale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</si>
</sst>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1610.09410" TargetMode="External"/><Relationship Id="rId3" Type="http://schemas.openxmlformats.org/officeDocument/2006/relationships/hyperlink" Target="https://arxiv.org/pdf/2403.13709" TargetMode="External"/><Relationship Id="rId7" Type="http://schemas.openxmlformats.org/officeDocument/2006/relationships/hyperlink" Target="https://arxiv.org/pdf/1711.10999" TargetMode="External"/><Relationship Id="rId2" Type="http://schemas.openxmlformats.org/officeDocument/2006/relationships/hyperlink" Target="https://arxiv.org/pdf/2005.14351" TargetMode="External"/><Relationship Id="rId1" Type="http://schemas.openxmlformats.org/officeDocument/2006/relationships/hyperlink" Target="https://arxiv.org/pdf/1612.05647" TargetMode="External"/><Relationship Id="rId6" Type="http://schemas.openxmlformats.org/officeDocument/2006/relationships/hyperlink" Target="https://arxiv.org/pdf/1003.2185" TargetMode="External"/><Relationship Id="rId5" Type="http://schemas.openxmlformats.org/officeDocument/2006/relationships/hyperlink" Target="https://arxiv.org/pdf/1511.04457" TargetMode="External"/><Relationship Id="rId4" Type="http://schemas.openxmlformats.org/officeDocument/2006/relationships/hyperlink" Target="https://arxiv.org/pdf/2405.12795" TargetMode="External"/><Relationship Id="rId9" Type="http://schemas.openxmlformats.org/officeDocument/2006/relationships/hyperlink" Target="https://arxiv.org/pdf/2401.12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A16" sqref="A16:XFD16"/>
    </sheetView>
  </sheetViews>
  <sheetFormatPr defaultRowHeight="14.4" x14ac:dyDescent="0.3"/>
  <cols>
    <col min="1" max="1" width="18.21875" customWidth="1"/>
    <col min="2" max="2" width="17.5546875" customWidth="1"/>
    <col min="3" max="3" width="17.88671875" customWidth="1"/>
    <col min="4" max="7" width="31.88671875" customWidth="1"/>
    <col min="8" max="8" width="21.88671875" customWidth="1"/>
    <col min="9" max="9" width="20.109375" customWidth="1"/>
    <col min="10" max="10" width="30.5546875" customWidth="1"/>
    <col min="11" max="11" width="61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5</v>
      </c>
      <c r="J1" s="1" t="s">
        <v>6</v>
      </c>
      <c r="K1" s="1" t="s">
        <v>7</v>
      </c>
    </row>
    <row r="2" spans="1:11" x14ac:dyDescent="0.3">
      <c r="A2" s="1">
        <v>0.6</v>
      </c>
      <c r="B2" s="1">
        <v>0.16</v>
      </c>
      <c r="C2" s="1">
        <v>0.09</v>
      </c>
      <c r="D2" s="1" t="s">
        <v>8</v>
      </c>
      <c r="E2" s="1">
        <v>2016</v>
      </c>
      <c r="F2" s="1" t="s">
        <v>9</v>
      </c>
      <c r="G2" s="1" t="s">
        <v>10</v>
      </c>
      <c r="H2" s="1">
        <v>0.05</v>
      </c>
      <c r="I2" s="6" t="s">
        <v>11</v>
      </c>
      <c r="J2" s="8" t="s">
        <v>12</v>
      </c>
      <c r="K2" s="6" t="s">
        <v>13</v>
      </c>
    </row>
    <row r="3" spans="1:11" x14ac:dyDescent="0.3">
      <c r="A3" s="1">
        <v>0.86</v>
      </c>
      <c r="B3" s="1">
        <v>0.09</v>
      </c>
      <c r="C3" s="1">
        <v>7.0000000000000007E-2</v>
      </c>
      <c r="D3" s="1" t="s">
        <v>8</v>
      </c>
      <c r="E3" s="1">
        <v>2016</v>
      </c>
      <c r="F3" s="1" t="s">
        <v>9</v>
      </c>
      <c r="G3" s="1" t="s">
        <v>10</v>
      </c>
      <c r="H3" s="1">
        <v>0.05</v>
      </c>
      <c r="I3" s="7"/>
      <c r="J3" s="7"/>
      <c r="K3" s="7"/>
    </row>
    <row r="4" spans="1:11" x14ac:dyDescent="0.3">
      <c r="A4" s="1">
        <v>0.25</v>
      </c>
      <c r="B4" s="1">
        <v>0.43</v>
      </c>
      <c r="C4" s="1">
        <v>0.09</v>
      </c>
      <c r="D4" s="1" t="s">
        <v>14</v>
      </c>
      <c r="E4" s="1">
        <v>2020</v>
      </c>
      <c r="F4" s="1" t="s">
        <v>9</v>
      </c>
      <c r="G4" s="1" t="s">
        <v>15</v>
      </c>
      <c r="H4" s="1">
        <v>0.01</v>
      </c>
      <c r="I4" s="6" t="s">
        <v>16</v>
      </c>
      <c r="J4" s="8" t="s">
        <v>17</v>
      </c>
      <c r="K4" s="6"/>
    </row>
    <row r="5" spans="1:11" x14ac:dyDescent="0.3">
      <c r="A5" s="1">
        <v>0.35</v>
      </c>
      <c r="B5" s="1">
        <v>0.45</v>
      </c>
      <c r="C5" s="1">
        <v>7.0000000000000007E-2</v>
      </c>
      <c r="D5" s="1" t="s">
        <v>14</v>
      </c>
      <c r="E5" s="1">
        <v>2020</v>
      </c>
      <c r="F5" s="1" t="s">
        <v>9</v>
      </c>
      <c r="G5" s="1" t="s">
        <v>15</v>
      </c>
      <c r="H5" s="1">
        <v>0.01</v>
      </c>
      <c r="I5" s="7"/>
      <c r="J5" s="7"/>
      <c r="K5" s="7"/>
    </row>
    <row r="6" spans="1:11" x14ac:dyDescent="0.3">
      <c r="A6" s="1">
        <v>0.45</v>
      </c>
      <c r="B6" s="1">
        <v>0.33</v>
      </c>
      <c r="C6" s="1">
        <v>0.06</v>
      </c>
      <c r="D6" s="1" t="s">
        <v>14</v>
      </c>
      <c r="E6" s="1">
        <v>2020</v>
      </c>
      <c r="F6" s="1" t="s">
        <v>9</v>
      </c>
      <c r="G6" s="1" t="s">
        <v>15</v>
      </c>
      <c r="H6" s="1">
        <v>0.01</v>
      </c>
      <c r="I6" s="7"/>
      <c r="J6" s="7"/>
      <c r="K6" s="7"/>
    </row>
    <row r="7" spans="1:11" x14ac:dyDescent="0.3">
      <c r="A7" s="1">
        <v>0.55000000000000004</v>
      </c>
      <c r="B7" s="1">
        <v>0.38</v>
      </c>
      <c r="C7" s="1">
        <v>7.0000000000000007E-2</v>
      </c>
      <c r="D7" s="1" t="s">
        <v>14</v>
      </c>
      <c r="E7" s="1">
        <v>2020</v>
      </c>
      <c r="F7" s="1" t="s">
        <v>9</v>
      </c>
      <c r="G7" s="1" t="s">
        <v>15</v>
      </c>
      <c r="H7" s="1">
        <v>0.01</v>
      </c>
      <c r="I7" s="7"/>
      <c r="J7" s="7"/>
      <c r="K7" s="7"/>
    </row>
    <row r="8" spans="1:11" x14ac:dyDescent="0.3">
      <c r="A8" s="1">
        <v>0.65</v>
      </c>
      <c r="B8" s="1">
        <v>0.34</v>
      </c>
      <c r="C8" s="1">
        <v>0.08</v>
      </c>
      <c r="D8" s="1" t="s">
        <v>14</v>
      </c>
      <c r="E8" s="1">
        <v>2020</v>
      </c>
      <c r="F8" s="1" t="s">
        <v>9</v>
      </c>
      <c r="G8" s="1" t="s">
        <v>15</v>
      </c>
      <c r="H8" s="1">
        <v>0.01</v>
      </c>
      <c r="I8" s="7"/>
      <c r="J8" s="7"/>
      <c r="K8" s="7"/>
    </row>
    <row r="9" spans="1:11" x14ac:dyDescent="0.3">
      <c r="A9" s="1">
        <v>0.29499999999999998</v>
      </c>
      <c r="B9" s="1">
        <v>0.44700000000000001</v>
      </c>
      <c r="C9" s="1">
        <v>2.7E-2</v>
      </c>
      <c r="D9" s="1" t="s">
        <v>18</v>
      </c>
      <c r="E9" s="1">
        <v>2024</v>
      </c>
      <c r="F9" s="1" t="s">
        <v>19</v>
      </c>
      <c r="G9" s="1" t="s">
        <v>20</v>
      </c>
      <c r="H9" s="1">
        <f>1/6</f>
        <v>0.16666666666666666</v>
      </c>
      <c r="I9" s="6" t="s">
        <v>21</v>
      </c>
      <c r="J9" s="8" t="s">
        <v>22</v>
      </c>
      <c r="K9" s="1"/>
    </row>
    <row r="10" spans="1:11" x14ac:dyDescent="0.3">
      <c r="A10" s="1">
        <v>0.46700000000000003</v>
      </c>
      <c r="B10" s="1">
        <v>0.378</v>
      </c>
      <c r="C10" s="1">
        <v>2.5999999999999999E-2</v>
      </c>
      <c r="D10" s="1" t="s">
        <v>18</v>
      </c>
      <c r="E10" s="1">
        <v>2024</v>
      </c>
      <c r="F10" s="1" t="s">
        <v>19</v>
      </c>
      <c r="G10" s="1" t="s">
        <v>20</v>
      </c>
      <c r="H10" s="1">
        <f t="shared" ref="H10:H12" si="0">1/6</f>
        <v>0.16666666666666666</v>
      </c>
      <c r="I10" s="7"/>
      <c r="J10" s="7"/>
      <c r="K10" s="1"/>
    </row>
    <row r="11" spans="1:11" x14ac:dyDescent="0.3">
      <c r="A11" s="1">
        <v>0.626</v>
      </c>
      <c r="B11" s="1">
        <v>0.39600000000000002</v>
      </c>
      <c r="C11" s="1">
        <v>3.3000000000000002E-2</v>
      </c>
      <c r="D11" s="1" t="s">
        <v>18</v>
      </c>
      <c r="E11" s="1">
        <v>2024</v>
      </c>
      <c r="F11" s="1" t="s">
        <v>19</v>
      </c>
      <c r="G11" s="1" t="s">
        <v>20</v>
      </c>
      <c r="H11" s="1">
        <f t="shared" si="0"/>
        <v>0.16666666666666666</v>
      </c>
      <c r="I11" s="7"/>
      <c r="J11" s="7"/>
      <c r="K11" s="1"/>
    </row>
    <row r="12" spans="1:11" x14ac:dyDescent="0.3">
      <c r="A12" s="1">
        <v>0.77100000000000002</v>
      </c>
      <c r="B12" s="1">
        <v>0.34499999999999997</v>
      </c>
      <c r="C12" s="1">
        <v>3.9E-2</v>
      </c>
      <c r="D12" s="1" t="s">
        <v>18</v>
      </c>
      <c r="E12" s="1">
        <v>2024</v>
      </c>
      <c r="F12" s="1" t="s">
        <v>19</v>
      </c>
      <c r="G12" s="1" t="s">
        <v>20</v>
      </c>
      <c r="H12" s="1">
        <f t="shared" si="0"/>
        <v>0.16666666666666666</v>
      </c>
      <c r="I12" s="7"/>
      <c r="J12" s="7"/>
      <c r="K12" s="1"/>
    </row>
    <row r="13" spans="1:11" x14ac:dyDescent="0.3">
      <c r="A13" s="1">
        <v>0.55500000000000005</v>
      </c>
      <c r="B13" s="1">
        <v>0.31</v>
      </c>
      <c r="C13" s="1">
        <v>5.5E-2</v>
      </c>
      <c r="D13" s="1" t="s">
        <v>23</v>
      </c>
      <c r="E13" s="1">
        <v>2025</v>
      </c>
      <c r="F13" s="1" t="s">
        <v>9</v>
      </c>
      <c r="G13" s="1" t="s">
        <v>24</v>
      </c>
      <c r="H13" s="1">
        <v>3.4000000000000002E-2</v>
      </c>
      <c r="I13" s="6" t="s">
        <v>25</v>
      </c>
      <c r="J13" s="8" t="s">
        <v>26</v>
      </c>
      <c r="K13" s="1" t="s">
        <v>27</v>
      </c>
    </row>
    <row r="14" spans="1:11" x14ac:dyDescent="0.3">
      <c r="A14" s="1">
        <v>0.316</v>
      </c>
      <c r="B14" s="1">
        <v>0.49</v>
      </c>
      <c r="C14" s="1">
        <v>0.125</v>
      </c>
      <c r="D14" s="1" t="s">
        <v>28</v>
      </c>
      <c r="E14" s="1">
        <v>2025</v>
      </c>
      <c r="F14" s="1" t="s">
        <v>9</v>
      </c>
      <c r="G14" s="1" t="s">
        <v>24</v>
      </c>
      <c r="H14" s="1">
        <v>5.6000000000000001E-2</v>
      </c>
      <c r="I14" s="7"/>
      <c r="J14" s="7"/>
      <c r="K14" s="1" t="s">
        <v>29</v>
      </c>
    </row>
    <row r="15" spans="1:11" x14ac:dyDescent="0.3">
      <c r="A15" s="1">
        <v>0.55500000000000005</v>
      </c>
      <c r="B15" s="1">
        <v>0.34</v>
      </c>
      <c r="C15" s="1">
        <v>0.05</v>
      </c>
      <c r="D15" s="1" t="s">
        <v>30</v>
      </c>
      <c r="E15" s="1">
        <v>2025</v>
      </c>
      <c r="F15" s="1" t="s">
        <v>9</v>
      </c>
      <c r="G15" s="1" t="s">
        <v>31</v>
      </c>
      <c r="H15" s="1">
        <v>3.4000000000000002E-2</v>
      </c>
      <c r="I15" s="7"/>
      <c r="J15" s="7"/>
      <c r="K15" s="1" t="s">
        <v>32</v>
      </c>
    </row>
    <row r="16" spans="1:11" x14ac:dyDescent="0.3">
      <c r="A16" s="1">
        <v>0.316</v>
      </c>
      <c r="B16" s="1">
        <v>0.43</v>
      </c>
      <c r="C16" s="1">
        <v>0.1</v>
      </c>
      <c r="D16" s="1" t="s">
        <v>33</v>
      </c>
      <c r="E16" s="1">
        <v>2025</v>
      </c>
      <c r="F16" s="1" t="s">
        <v>9</v>
      </c>
      <c r="G16" s="1" t="s">
        <v>31</v>
      </c>
      <c r="H16" s="1">
        <v>5.6000000000000001E-2</v>
      </c>
      <c r="I16" s="7"/>
      <c r="J16" s="7"/>
      <c r="K16" s="1" t="s">
        <v>34</v>
      </c>
    </row>
    <row r="17" spans="1:11" x14ac:dyDescent="0.3">
      <c r="A17" s="1">
        <v>0.56999999999999995</v>
      </c>
      <c r="B17" s="1">
        <v>0.24299999999999999</v>
      </c>
      <c r="C17" s="1">
        <v>7.2999999999999995E-2</v>
      </c>
      <c r="D17" s="1" t="s">
        <v>35</v>
      </c>
      <c r="E17" s="1">
        <v>2016</v>
      </c>
      <c r="F17" s="1" t="s">
        <v>9</v>
      </c>
      <c r="G17" s="1" t="s">
        <v>36</v>
      </c>
      <c r="H17" s="1">
        <f>1/150</f>
        <v>6.6666666666666671E-3</v>
      </c>
      <c r="I17" s="1" t="s">
        <v>37</v>
      </c>
      <c r="J17" s="3" t="s">
        <v>38</v>
      </c>
      <c r="K17" s="1" t="s">
        <v>39</v>
      </c>
    </row>
    <row r="18" spans="1:11" x14ac:dyDescent="0.3">
      <c r="A18" s="1">
        <v>0.32</v>
      </c>
      <c r="B18" s="1">
        <v>0.39200000000000002</v>
      </c>
      <c r="C18" s="1">
        <v>6.5000000000000002E-2</v>
      </c>
      <c r="D18" s="1" t="s">
        <v>40</v>
      </c>
      <c r="E18" s="1">
        <v>2010</v>
      </c>
      <c r="F18" s="1" t="s">
        <v>9</v>
      </c>
      <c r="G18" s="1" t="s">
        <v>41</v>
      </c>
      <c r="H18" s="2">
        <v>0.02</v>
      </c>
      <c r="I18" s="1" t="s">
        <v>42</v>
      </c>
      <c r="J18" s="4" t="s">
        <v>43</v>
      </c>
      <c r="K18" s="1" t="s">
        <v>44</v>
      </c>
    </row>
    <row r="19" spans="1:11" x14ac:dyDescent="0.3">
      <c r="A19" s="1">
        <v>0.26700000000000002</v>
      </c>
      <c r="B19" s="1">
        <v>0.43</v>
      </c>
      <c r="C19" s="1">
        <v>0.13</v>
      </c>
      <c r="D19" s="1" t="s">
        <v>45</v>
      </c>
      <c r="E19" s="1">
        <v>2018</v>
      </c>
      <c r="F19" s="1" t="s">
        <v>9</v>
      </c>
      <c r="G19" s="1" t="s">
        <v>46</v>
      </c>
      <c r="H19" s="1">
        <f>1/40</f>
        <v>2.5000000000000001E-2</v>
      </c>
      <c r="I19" s="6" t="s">
        <v>47</v>
      </c>
      <c r="J19" s="8" t="s">
        <v>48</v>
      </c>
      <c r="K19" s="1"/>
    </row>
    <row r="20" spans="1:11" x14ac:dyDescent="0.3">
      <c r="A20" s="1">
        <v>0.30499999999999999</v>
      </c>
      <c r="B20" s="1">
        <v>0.27</v>
      </c>
      <c r="C20" s="1">
        <v>0.08</v>
      </c>
      <c r="D20" s="1" t="s">
        <v>49</v>
      </c>
      <c r="E20" s="1">
        <v>2018</v>
      </c>
      <c r="F20" s="1" t="s">
        <v>9</v>
      </c>
      <c r="G20" s="1" t="s">
        <v>46</v>
      </c>
      <c r="H20" s="1">
        <f>1/60</f>
        <v>1.6666666666666666E-2</v>
      </c>
      <c r="I20" s="7"/>
      <c r="J20" s="7"/>
      <c r="K20" s="1"/>
    </row>
    <row r="21" spans="1:11" x14ac:dyDescent="0.3">
      <c r="A21" s="1">
        <v>0.55400000000000005</v>
      </c>
      <c r="B21" s="1">
        <v>0.26</v>
      </c>
      <c r="C21" s="1">
        <v>7.0000000000000007E-2</v>
      </c>
      <c r="D21" s="1" t="s">
        <v>50</v>
      </c>
      <c r="E21" s="1">
        <v>2018</v>
      </c>
      <c r="F21" s="1" t="s">
        <v>9</v>
      </c>
      <c r="G21" s="1" t="s">
        <v>46</v>
      </c>
      <c r="H21" s="1">
        <f>1/60</f>
        <v>1.6666666666666666E-2</v>
      </c>
      <c r="I21" s="7"/>
      <c r="J21" s="7"/>
      <c r="K21" s="1"/>
    </row>
    <row r="22" spans="1:11" x14ac:dyDescent="0.3">
      <c r="A22" s="1">
        <v>0.56999999999999995</v>
      </c>
      <c r="B22" s="1">
        <v>0.42</v>
      </c>
      <c r="C22" s="1">
        <v>5.6000000000000001E-2</v>
      </c>
      <c r="D22" s="1" t="s">
        <v>51</v>
      </c>
      <c r="E22" s="1">
        <v>2016</v>
      </c>
      <c r="F22" s="1" t="s">
        <v>9</v>
      </c>
      <c r="G22" s="1" t="s">
        <v>10</v>
      </c>
      <c r="H22" s="2">
        <f>1/47</f>
        <v>2.1276595744680851E-2</v>
      </c>
      <c r="I22" s="1" t="s">
        <v>52</v>
      </c>
      <c r="J22" s="3" t="s">
        <v>53</v>
      </c>
      <c r="K22" s="1"/>
    </row>
    <row r="23" spans="1:11" x14ac:dyDescent="0.3">
      <c r="A23" s="1">
        <v>0.55500000000000005</v>
      </c>
      <c r="B23" s="1">
        <v>0.36</v>
      </c>
      <c r="C23" s="1">
        <v>5.5E-2</v>
      </c>
      <c r="D23" s="1" t="s">
        <v>54</v>
      </c>
      <c r="E23" s="1">
        <v>2024</v>
      </c>
      <c r="F23" s="1" t="s">
        <v>9</v>
      </c>
      <c r="G23" s="1" t="s">
        <v>36</v>
      </c>
      <c r="H23" s="1">
        <v>0.02</v>
      </c>
      <c r="I23" s="6" t="s">
        <v>25</v>
      </c>
      <c r="J23" s="8" t="s">
        <v>55</v>
      </c>
      <c r="K23" s="1" t="s">
        <v>27</v>
      </c>
    </row>
    <row r="24" spans="1:11" x14ac:dyDescent="0.3">
      <c r="A24" s="1">
        <v>0.316</v>
      </c>
      <c r="B24" s="1">
        <v>0.4</v>
      </c>
      <c r="C24" s="1">
        <v>0.1</v>
      </c>
      <c r="D24" s="1" t="s">
        <v>56</v>
      </c>
      <c r="E24" s="1">
        <v>2024</v>
      </c>
      <c r="F24" s="1" t="s">
        <v>9</v>
      </c>
      <c r="G24" s="1" t="s">
        <v>36</v>
      </c>
      <c r="H24" s="1">
        <v>0.02</v>
      </c>
      <c r="I24" s="7"/>
      <c r="J24" s="7"/>
      <c r="K24" s="1" t="s">
        <v>57</v>
      </c>
    </row>
    <row r="26" spans="1:11" x14ac:dyDescent="0.3">
      <c r="H26" s="5"/>
    </row>
  </sheetData>
  <mergeCells count="14">
    <mergeCell ref="I2:I3"/>
    <mergeCell ref="I19:I21"/>
    <mergeCell ref="K2:K3"/>
    <mergeCell ref="I4:I8"/>
    <mergeCell ref="J19:J21"/>
    <mergeCell ref="I23:I24"/>
    <mergeCell ref="K4:K8"/>
    <mergeCell ref="J2:J3"/>
    <mergeCell ref="J9:J12"/>
    <mergeCell ref="J23:J24"/>
    <mergeCell ref="I13:I16"/>
    <mergeCell ref="J4:J8"/>
    <mergeCell ref="J13:J16"/>
    <mergeCell ref="I9:I12"/>
  </mergeCells>
  <hyperlinks>
    <hyperlink ref="J2" r:id="rId1" xr:uid="{00000000-0004-0000-0000-000000000000}"/>
    <hyperlink ref="J4" r:id="rId2" xr:uid="{00000000-0004-0000-0000-000001000000}"/>
    <hyperlink ref="J9" r:id="rId3" xr:uid="{00000000-0004-0000-0000-000002000000}"/>
    <hyperlink ref="J13" r:id="rId4" xr:uid="{00000000-0004-0000-0000-000003000000}"/>
    <hyperlink ref="J17" r:id="rId5" xr:uid="{00000000-0004-0000-0000-000004000000}"/>
    <hyperlink ref="J18" r:id="rId6" xr:uid="{00000000-0004-0000-0000-000005000000}"/>
    <hyperlink ref="J19" r:id="rId7" xr:uid="{00000000-0004-0000-0000-000006000000}"/>
    <hyperlink ref="J22" r:id="rId8" xr:uid="{00000000-0004-0000-0000-000007000000}"/>
    <hyperlink ref="J23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</dc:creator>
  <cp:lastModifiedBy>ameya kolhatkar</cp:lastModifiedBy>
  <dcterms:created xsi:type="dcterms:W3CDTF">2015-06-05T18:17:20Z</dcterms:created>
  <dcterms:modified xsi:type="dcterms:W3CDTF">2026-07-15T03:30:13Z</dcterms:modified>
</cp:coreProperties>
</file>